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okumen\semester 6\machine_learning\week 5\week5\"/>
    </mc:Choice>
  </mc:AlternateContent>
  <xr:revisionPtr revIDLastSave="0" documentId="13_ncr:1_{8B0BA9A4-FFC7-421F-B7A7-9533DD77C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Sheet1!$U$10:$Y$30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5" i="1" l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Y30" i="1"/>
  <c r="Y28" i="1"/>
  <c r="Y25" i="1"/>
  <c r="Y23" i="1"/>
  <c r="Y17" i="1"/>
  <c r="Y18" i="1"/>
  <c r="Y15" i="1"/>
  <c r="Y20" i="1"/>
  <c r="Y22" i="1"/>
  <c r="Y26" i="1"/>
  <c r="Y21" i="1"/>
  <c r="Y16" i="1"/>
  <c r="Y14" i="1"/>
  <c r="Y11" i="1"/>
  <c r="Y12" i="1"/>
  <c r="Y13" i="1"/>
  <c r="Y19" i="1"/>
  <c r="Y24" i="1"/>
  <c r="Y27" i="1"/>
  <c r="Y29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13" i="1"/>
</calcChain>
</file>

<file path=xl/sharedStrings.xml><?xml version="1.0" encoding="utf-8"?>
<sst xmlns="http://schemas.openxmlformats.org/spreadsheetml/2006/main" count="139" uniqueCount="23">
  <si>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</si>
  <si>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</si>
  <si>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</si>
  <si>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</si>
  <si>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</si>
  <si>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</si>
  <si>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</si>
  <si>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</si>
  <si>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X2 = 5</t>
  </si>
  <si>
    <t>2. Pengukuran Jarak</t>
  </si>
  <si>
    <t>1. Persiapan Data</t>
  </si>
  <si>
    <t>4. Visualisasi Persebaran Data (BEFORE)</t>
  </si>
  <si>
    <t>Visualisasi Persebaran Data Setelah Menggunakan Model KNN (AFTER)</t>
  </si>
  <si>
    <t>X1 = 6</t>
  </si>
  <si>
    <t>Jarak dari (6,5)</t>
  </si>
  <si>
    <t>3 - 6 Pemilihan Jumlah Tetangga (K = 5) dan identifikasi tetangga terdekat</t>
  </si>
  <si>
    <t>Data diurutkan dari yang terkecil ke besar</t>
  </si>
  <si>
    <t xml:space="preserve">Menggunakan jarak euclidean, untuk menghitung jarak </t>
  </si>
  <si>
    <t>antara titik baru (X1 = 6, X2 = 5) dari setiap titik data.</t>
  </si>
  <si>
    <t>berdasarkan algoritma KNN dengan K = 5</t>
  </si>
  <si>
    <t>Dipilih 5 data dari yang terdekat</t>
  </si>
  <si>
    <t>Mayoritas adalah A (3 suara A, 2 suara B)</t>
  </si>
  <si>
    <t>Maka titik baru (X1 = 6, X2 = 5) akan diklasifikasikan ke kelas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</si>
</sst>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5D-4B1D-B87A-8003B2EB8FB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5D-4B1D-B87A-8003B2EB8FB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A5D-4B1D-B87A-8003B2EB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</a:t>
            </a:r>
            <a:r>
              <a:rPr lang="id-ID"/>
              <a:t>5</a:t>
            </a:r>
            <a:r>
              <a:rPr lang="en-US"/>
              <a:t>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(Sheet1!$AO$6,Sheet1!$AO$9,Sheet1!$AO$12:$AO$13,Sheet1!$AO$17:$AO$19,Sheet1!$AO$21:$AO$23)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9</c:v>
                </c:pt>
              </c:numCache>
            </c:numRef>
          </c:xVal>
          <c:yVal>
            <c:numRef>
              <c:f>(Sheet1!$AP$6,Sheet1!$AP$9,Sheet1!$AP$12:$AP$13,Sheet1!$AP$17:$AP$19,Sheet1!$AP$21:$AP$23)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2-44F0-8A31-49A82CE94FE3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(Sheet1!$AO$7:$AO$8,Sheet1!$AO$10:$AO$11,Sheet1!$AO$14:$AO$16)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</c:numCache>
            </c:numRef>
          </c:xVal>
          <c:yVal>
            <c:numRef>
              <c:f>(Sheet1!$AP$7:$AP$8,Sheet1!$AP$10:$AP$11,Sheet1!$AP$14:$AP$16)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12-44F0-8A31-49A82CE94FE3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812-44F0-8A31-49A82CE94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602774</xdr:colOff>
      <xdr:row>7</xdr:row>
      <xdr:rowOff>186230</xdr:rowOff>
    </xdr:from>
    <xdr:to>
      <xdr:col>16</xdr:col>
      <xdr:colOff>55781</xdr:colOff>
      <xdr:row>9</xdr:row>
      <xdr:rowOff>213017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4267" y="2085543"/>
          <a:ext cx="3490469" cy="402100"/>
        </a:xfrm>
        <a:prstGeom prst="rect">
          <a:avLst/>
        </a:prstGeom>
      </xdr:spPr>
    </xdr:pic>
    <xdr:clientData/>
  </xdr:twoCellAnchor>
  <xdr:twoCellAnchor>
    <xdr:from>
      <xdr:col>29</xdr:col>
      <xdr:colOff>243448</xdr:colOff>
      <xdr:row>25</xdr:row>
      <xdr:rowOff>115056</xdr:rowOff>
    </xdr:from>
    <xdr:to>
      <xdr:col>35</xdr:col>
      <xdr:colOff>216090</xdr:colOff>
      <xdr:row>39</xdr:row>
      <xdr:rowOff>11373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63133</xdr:colOff>
      <xdr:row>25</xdr:row>
      <xdr:rowOff>149140</xdr:rowOff>
    </xdr:from>
    <xdr:to>
      <xdr:col>44</xdr:col>
      <xdr:colOff>466299</xdr:colOff>
      <xdr:row>39</xdr:row>
      <xdr:rowOff>68238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230642</xdr:colOff>
      <xdr:row>32</xdr:row>
      <xdr:rowOff>75531</xdr:rowOff>
    </xdr:from>
    <xdr:to>
      <xdr:col>41</xdr:col>
      <xdr:colOff>486613</xdr:colOff>
      <xdr:row>37</xdr:row>
      <xdr:rowOff>52102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5490373" y="7149621"/>
          <a:ext cx="870121" cy="886421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F35"/>
  <sheetViews>
    <sheetView tabSelected="1" zoomScale="62" zoomScaleNormal="40" workbookViewId="0">
      <selection activeCell="V34" sqref="V34"/>
    </sheetView>
  </sheetViews>
  <sheetFormatPr defaultRowHeight="14.4" x14ac:dyDescent="0.3"/>
  <cols>
    <col min="12" max="12" width="14.109375" customWidth="1"/>
    <col min="23" max="23" width="14" customWidth="1"/>
  </cols>
  <sheetData>
    <row r="2" spans="3:58" ht="46.2" x14ac:dyDescent="0.85">
      <c r="C2" s="13" t="s">
        <v>6</v>
      </c>
      <c r="D2" s="13"/>
      <c r="E2" s="13"/>
      <c r="F2" s="13"/>
      <c r="G2" s="13"/>
      <c r="O2" s="3"/>
      <c r="P2" s="3"/>
      <c r="Q2" s="3"/>
      <c r="R2" s="3"/>
    </row>
    <row r="3" spans="3:58" x14ac:dyDescent="0.3">
      <c r="AD3" s="12" t="s">
        <v>11</v>
      </c>
      <c r="AE3" s="12"/>
      <c r="AF3" s="12"/>
      <c r="AG3" s="12"/>
      <c r="AN3" t="s">
        <v>12</v>
      </c>
    </row>
    <row r="4" spans="3:58" x14ac:dyDescent="0.3">
      <c r="C4" s="4" t="s">
        <v>10</v>
      </c>
      <c r="L4" s="12" t="s">
        <v>9</v>
      </c>
      <c r="M4" s="12"/>
      <c r="U4" s="14" t="s">
        <v>15</v>
      </c>
      <c r="V4" s="14"/>
      <c r="W4" s="14"/>
      <c r="X4" s="14"/>
      <c r="Y4" s="14"/>
    </row>
    <row r="5" spans="3:58" ht="28.8" x14ac:dyDescent="0.3">
      <c r="C5" s="1" t="s">
        <v>0</v>
      </c>
      <c r="D5" s="1" t="s">
        <v>1</v>
      </c>
      <c r="E5" s="1" t="s">
        <v>2</v>
      </c>
      <c r="F5" s="1" t="s">
        <v>3</v>
      </c>
      <c r="H5" s="7" t="s">
        <v>7</v>
      </c>
      <c r="U5" s="14"/>
      <c r="V5" s="14"/>
      <c r="W5" s="14"/>
      <c r="X5" s="14"/>
      <c r="Y5" s="14"/>
      <c r="AD5" s="1" t="s">
        <v>0</v>
      </c>
      <c r="AE5" s="1" t="s">
        <v>1</v>
      </c>
      <c r="AF5" s="1" t="s">
        <v>2</v>
      </c>
      <c r="AG5" s="1" t="s">
        <v>3</v>
      </c>
      <c r="AN5" s="1" t="s">
        <v>0</v>
      </c>
      <c r="AO5" s="1" t="s">
        <v>1</v>
      </c>
      <c r="AP5" s="1" t="s">
        <v>2</v>
      </c>
      <c r="AQ5" s="1" t="s">
        <v>3</v>
      </c>
      <c r="AR5" s="1" t="s">
        <v>14</v>
      </c>
    </row>
    <row r="6" spans="3:58" ht="31.2" customHeight="1" x14ac:dyDescent="0.3">
      <c r="C6" s="2">
        <v>1</v>
      </c>
      <c r="D6" s="2">
        <v>1</v>
      </c>
      <c r="E6" s="2">
        <v>1</v>
      </c>
      <c r="F6" s="2" t="s">
        <v>4</v>
      </c>
      <c r="H6" s="8" t="s">
        <v>13</v>
      </c>
      <c r="L6" t="s">
        <v>17</v>
      </c>
      <c r="AD6" s="2">
        <v>1</v>
      </c>
      <c r="AE6" s="2">
        <v>1</v>
      </c>
      <c r="AF6" s="2">
        <v>1</v>
      </c>
      <c r="AG6" s="2" t="s">
        <v>4</v>
      </c>
      <c r="AN6" s="2">
        <v>7</v>
      </c>
      <c r="AO6" s="2">
        <v>7</v>
      </c>
      <c r="AP6" s="2">
        <v>4</v>
      </c>
      <c r="AQ6" s="2" t="s">
        <v>4</v>
      </c>
      <c r="AR6" s="6">
        <f t="shared" ref="AR6:AR25" si="0">SQRT((AO6-6)^2+(AP6-5)^2)</f>
        <v>1.4142135623730951</v>
      </c>
      <c r="BB6" s="11"/>
      <c r="BC6" s="11"/>
      <c r="BD6" s="11"/>
      <c r="BE6" s="11"/>
      <c r="BF6" s="11"/>
    </row>
    <row r="7" spans="3:58" x14ac:dyDescent="0.3">
      <c r="C7" s="2">
        <v>2</v>
      </c>
      <c r="D7" s="2">
        <v>2</v>
      </c>
      <c r="E7" s="2">
        <v>1</v>
      </c>
      <c r="F7" s="2" t="s">
        <v>4</v>
      </c>
      <c r="H7" s="8" t="s">
        <v>8</v>
      </c>
      <c r="L7" t="s">
        <v>18</v>
      </c>
      <c r="U7" t="s">
        <v>16</v>
      </c>
      <c r="AD7" s="2">
        <v>2</v>
      </c>
      <c r="AE7" s="2">
        <v>2</v>
      </c>
      <c r="AF7" s="2">
        <v>1</v>
      </c>
      <c r="AG7" s="2" t="s">
        <v>4</v>
      </c>
      <c r="AN7" s="2">
        <v>6</v>
      </c>
      <c r="AO7" s="2">
        <v>6</v>
      </c>
      <c r="AP7" s="2">
        <v>3</v>
      </c>
      <c r="AQ7" s="2" t="s">
        <v>5</v>
      </c>
      <c r="AR7" s="6">
        <f t="shared" si="0"/>
        <v>2</v>
      </c>
      <c r="BB7" s="9"/>
      <c r="BC7" s="9"/>
      <c r="BD7" s="9"/>
      <c r="BE7" s="9"/>
    </row>
    <row r="8" spans="3:58" x14ac:dyDescent="0.3">
      <c r="C8" s="2">
        <v>3</v>
      </c>
      <c r="D8" s="2">
        <v>3</v>
      </c>
      <c r="E8" s="2">
        <v>2</v>
      </c>
      <c r="F8" s="2" t="s">
        <v>4</v>
      </c>
      <c r="N8" s="10"/>
      <c r="O8" s="10"/>
      <c r="P8" s="10"/>
      <c r="Q8" s="10"/>
      <c r="R8" s="10"/>
      <c r="S8" s="10"/>
      <c r="U8" t="s">
        <v>20</v>
      </c>
      <c r="AD8" s="2">
        <v>3</v>
      </c>
      <c r="AE8" s="2">
        <v>3</v>
      </c>
      <c r="AF8" s="2">
        <v>2</v>
      </c>
      <c r="AG8" s="2" t="s">
        <v>4</v>
      </c>
      <c r="AN8" s="2">
        <v>5</v>
      </c>
      <c r="AO8" s="2">
        <v>5</v>
      </c>
      <c r="AP8" s="2">
        <v>3</v>
      </c>
      <c r="AQ8" s="2" t="s">
        <v>5</v>
      </c>
      <c r="AR8" s="6">
        <f t="shared" si="0"/>
        <v>2.2360679774997898</v>
      </c>
    </row>
    <row r="9" spans="3:58" ht="15" customHeight="1" x14ac:dyDescent="0.3">
      <c r="C9" s="2">
        <v>4</v>
      </c>
      <c r="D9" s="2">
        <v>4</v>
      </c>
      <c r="E9" s="2">
        <v>2</v>
      </c>
      <c r="F9" s="2" t="s">
        <v>5</v>
      </c>
      <c r="N9" s="10"/>
      <c r="O9" s="10"/>
      <c r="P9" s="10"/>
      <c r="Q9" s="10"/>
      <c r="R9" s="10"/>
      <c r="S9" s="10"/>
      <c r="AD9" s="2">
        <v>4</v>
      </c>
      <c r="AE9" s="2">
        <v>4</v>
      </c>
      <c r="AF9" s="2">
        <v>2</v>
      </c>
      <c r="AG9" s="2" t="s">
        <v>5</v>
      </c>
      <c r="AN9" s="2">
        <v>8</v>
      </c>
      <c r="AO9" s="2">
        <v>8</v>
      </c>
      <c r="AP9" s="2">
        <v>4</v>
      </c>
      <c r="AQ9" s="2" t="s">
        <v>4</v>
      </c>
      <c r="AR9" s="6">
        <f t="shared" si="0"/>
        <v>2.2360679774997898</v>
      </c>
    </row>
    <row r="10" spans="3:58" ht="28.8" x14ac:dyDescent="0.3">
      <c r="C10" s="2">
        <v>5</v>
      </c>
      <c r="D10" s="2">
        <v>5</v>
      </c>
      <c r="E10" s="2">
        <v>3</v>
      </c>
      <c r="F10" s="2" t="s">
        <v>5</v>
      </c>
      <c r="N10" s="5"/>
      <c r="U10" s="1" t="s">
        <v>0</v>
      </c>
      <c r="V10" s="1" t="s">
        <v>1</v>
      </c>
      <c r="W10" s="1" t="s">
        <v>2</v>
      </c>
      <c r="X10" s="1" t="s">
        <v>3</v>
      </c>
      <c r="Y10" s="1" t="s">
        <v>14</v>
      </c>
      <c r="AD10" s="2">
        <v>5</v>
      </c>
      <c r="AE10" s="2">
        <v>5</v>
      </c>
      <c r="AF10" s="2">
        <v>3</v>
      </c>
      <c r="AG10" s="2" t="s">
        <v>5</v>
      </c>
      <c r="AN10" s="2">
        <v>14</v>
      </c>
      <c r="AO10" s="2">
        <v>4</v>
      </c>
      <c r="AP10" s="2">
        <v>7</v>
      </c>
      <c r="AQ10" s="2" t="s">
        <v>4</v>
      </c>
      <c r="AR10" s="6">
        <f t="shared" si="0"/>
        <v>2.8284271247461903</v>
      </c>
    </row>
    <row r="11" spans="3:58" ht="14.4" customHeight="1" x14ac:dyDescent="0.3">
      <c r="C11" s="2">
        <v>6</v>
      </c>
      <c r="D11" s="2">
        <v>6</v>
      </c>
      <c r="E11" s="2">
        <v>3</v>
      </c>
      <c r="F11" s="2" t="s">
        <v>5</v>
      </c>
      <c r="U11" s="15">
        <v>7</v>
      </c>
      <c r="V11" s="15">
        <v>7</v>
      </c>
      <c r="W11" s="15">
        <v>4</v>
      </c>
      <c r="X11" s="15" t="s">
        <v>4</v>
      </c>
      <c r="Y11" s="16">
        <f t="shared" ref="Y11:Y30" si="1">SQRT((V11-6)^2+(W11-5)^2)</f>
        <v>1.4142135623730951</v>
      </c>
      <c r="AD11" s="2">
        <v>6</v>
      </c>
      <c r="AE11" s="2">
        <v>6</v>
      </c>
      <c r="AF11" s="2">
        <v>3</v>
      </c>
      <c r="AG11" s="2" t="s">
        <v>5</v>
      </c>
      <c r="AN11" s="2">
        <v>9</v>
      </c>
      <c r="AO11" s="2">
        <v>9</v>
      </c>
      <c r="AP11" s="2">
        <v>5</v>
      </c>
      <c r="AQ11" s="2" t="s">
        <v>5</v>
      </c>
      <c r="AR11" s="6">
        <f t="shared" si="0"/>
        <v>3</v>
      </c>
    </row>
    <row r="12" spans="3:58" ht="28.8" x14ac:dyDescent="0.3">
      <c r="C12" s="2">
        <v>7</v>
      </c>
      <c r="D12" s="2">
        <v>7</v>
      </c>
      <c r="E12" s="2">
        <v>4</v>
      </c>
      <c r="F12" s="2" t="s">
        <v>4</v>
      </c>
      <c r="L12" s="1" t="s">
        <v>0</v>
      </c>
      <c r="M12" s="1" t="s">
        <v>1</v>
      </c>
      <c r="N12" s="1" t="s">
        <v>2</v>
      </c>
      <c r="O12" s="1" t="s">
        <v>3</v>
      </c>
      <c r="P12" s="1" t="s">
        <v>14</v>
      </c>
      <c r="U12" s="15">
        <v>6</v>
      </c>
      <c r="V12" s="15">
        <v>6</v>
      </c>
      <c r="W12" s="15">
        <v>3</v>
      </c>
      <c r="X12" s="15" t="s">
        <v>5</v>
      </c>
      <c r="Y12" s="16">
        <f t="shared" si="1"/>
        <v>2</v>
      </c>
      <c r="AD12" s="2">
        <v>7</v>
      </c>
      <c r="AE12" s="2">
        <v>7</v>
      </c>
      <c r="AF12" s="2">
        <v>4</v>
      </c>
      <c r="AG12" s="2" t="s">
        <v>4</v>
      </c>
      <c r="AN12" s="2">
        <v>16</v>
      </c>
      <c r="AO12" s="2">
        <v>6</v>
      </c>
      <c r="AP12" s="2">
        <v>8</v>
      </c>
      <c r="AQ12" s="2" t="s">
        <v>5</v>
      </c>
      <c r="AR12" s="6">
        <f t="shared" si="0"/>
        <v>3</v>
      </c>
    </row>
    <row r="13" spans="3:58" x14ac:dyDescent="0.3">
      <c r="C13" s="2">
        <v>8</v>
      </c>
      <c r="D13" s="2">
        <v>8</v>
      </c>
      <c r="E13" s="2">
        <v>4</v>
      </c>
      <c r="F13" s="2" t="s">
        <v>4</v>
      </c>
      <c r="L13" s="2">
        <v>1</v>
      </c>
      <c r="M13" s="2">
        <v>1</v>
      </c>
      <c r="N13" s="2">
        <v>1</v>
      </c>
      <c r="O13" s="2" t="s">
        <v>4</v>
      </c>
      <c r="P13" s="6">
        <f>SQRT((M13-6)^2+(N13-5)^2)</f>
        <v>6.4031242374328485</v>
      </c>
      <c r="U13" s="15">
        <v>5</v>
      </c>
      <c r="V13" s="15">
        <v>5</v>
      </c>
      <c r="W13" s="15">
        <v>3</v>
      </c>
      <c r="X13" s="15" t="s">
        <v>5</v>
      </c>
      <c r="Y13" s="16">
        <f t="shared" si="1"/>
        <v>2.2360679774997898</v>
      </c>
      <c r="AD13" s="2">
        <v>8</v>
      </c>
      <c r="AE13" s="2">
        <v>8</v>
      </c>
      <c r="AF13" s="2">
        <v>4</v>
      </c>
      <c r="AG13" s="2" t="s">
        <v>4</v>
      </c>
      <c r="AN13" s="2">
        <v>15</v>
      </c>
      <c r="AO13" s="2">
        <v>5</v>
      </c>
      <c r="AP13" s="2">
        <v>8</v>
      </c>
      <c r="AQ13" s="2" t="s">
        <v>5</v>
      </c>
      <c r="AR13" s="6">
        <f t="shared" si="0"/>
        <v>3.1622776601683795</v>
      </c>
    </row>
    <row r="14" spans="3:58" x14ac:dyDescent="0.3">
      <c r="C14" s="2">
        <v>9</v>
      </c>
      <c r="D14" s="2">
        <v>9</v>
      </c>
      <c r="E14" s="2">
        <v>5</v>
      </c>
      <c r="F14" s="2" t="s">
        <v>5</v>
      </c>
      <c r="L14" s="2">
        <v>2</v>
      </c>
      <c r="M14" s="2">
        <v>2</v>
      </c>
      <c r="N14" s="2">
        <v>1</v>
      </c>
      <c r="O14" s="2" t="s">
        <v>4</v>
      </c>
      <c r="P14" s="6">
        <f t="shared" ref="P14:P32" si="2">SQRT((M14-6)^2+(N14-5)^2)</f>
        <v>5.6568542494923806</v>
      </c>
      <c r="U14" s="15">
        <v>8</v>
      </c>
      <c r="V14" s="15">
        <v>8</v>
      </c>
      <c r="W14" s="15">
        <v>4</v>
      </c>
      <c r="X14" s="15" t="s">
        <v>4</v>
      </c>
      <c r="Y14" s="16">
        <f t="shared" si="1"/>
        <v>2.2360679774997898</v>
      </c>
      <c r="AD14" s="2">
        <v>9</v>
      </c>
      <c r="AE14" s="2">
        <v>9</v>
      </c>
      <c r="AF14" s="2">
        <v>5</v>
      </c>
      <c r="AG14" s="2" t="s">
        <v>5</v>
      </c>
      <c r="AN14" s="2">
        <v>4</v>
      </c>
      <c r="AO14" s="2">
        <v>4</v>
      </c>
      <c r="AP14" s="2">
        <v>2</v>
      </c>
      <c r="AQ14" s="2" t="s">
        <v>5</v>
      </c>
      <c r="AR14" s="6">
        <f t="shared" si="0"/>
        <v>3.6055512754639891</v>
      </c>
    </row>
    <row r="15" spans="3:58" x14ac:dyDescent="0.3">
      <c r="C15" s="2">
        <v>10</v>
      </c>
      <c r="D15" s="2">
        <v>10</v>
      </c>
      <c r="E15" s="2">
        <v>5</v>
      </c>
      <c r="F15" s="2" t="s">
        <v>4</v>
      </c>
      <c r="L15" s="2">
        <v>3</v>
      </c>
      <c r="M15" s="2">
        <v>3</v>
      </c>
      <c r="N15" s="2">
        <v>2</v>
      </c>
      <c r="O15" s="2" t="s">
        <v>4</v>
      </c>
      <c r="P15" s="6">
        <f t="shared" si="2"/>
        <v>4.2426406871192848</v>
      </c>
      <c r="U15" s="15">
        <v>14</v>
      </c>
      <c r="V15" s="15">
        <v>4</v>
      </c>
      <c r="W15" s="15">
        <v>7</v>
      </c>
      <c r="X15" s="15" t="s">
        <v>4</v>
      </c>
      <c r="Y15" s="16">
        <f t="shared" si="1"/>
        <v>2.8284271247461903</v>
      </c>
      <c r="AD15" s="2">
        <v>10</v>
      </c>
      <c r="AE15" s="2">
        <v>10</v>
      </c>
      <c r="AF15" s="2">
        <v>5</v>
      </c>
      <c r="AG15" s="2" t="s">
        <v>4</v>
      </c>
      <c r="AN15" s="2">
        <v>13</v>
      </c>
      <c r="AO15" s="2">
        <v>3</v>
      </c>
      <c r="AP15" s="2">
        <v>7</v>
      </c>
      <c r="AQ15" s="2" t="s">
        <v>4</v>
      </c>
      <c r="AR15" s="6">
        <f t="shared" si="0"/>
        <v>3.6055512754639891</v>
      </c>
    </row>
    <row r="16" spans="3:58" ht="19.5" customHeight="1" x14ac:dyDescent="0.3">
      <c r="C16" s="2">
        <v>11</v>
      </c>
      <c r="D16" s="2">
        <v>1</v>
      </c>
      <c r="E16" s="2">
        <v>6</v>
      </c>
      <c r="F16" s="2" t="s">
        <v>5</v>
      </c>
      <c r="L16" s="2">
        <v>4</v>
      </c>
      <c r="M16" s="2">
        <v>4</v>
      </c>
      <c r="N16" s="2">
        <v>2</v>
      </c>
      <c r="O16" s="2" t="s">
        <v>5</v>
      </c>
      <c r="P16" s="6">
        <f t="shared" si="2"/>
        <v>3.6055512754639891</v>
      </c>
      <c r="U16" s="2">
        <v>9</v>
      </c>
      <c r="V16" s="2">
        <v>9</v>
      </c>
      <c r="W16" s="2">
        <v>5</v>
      </c>
      <c r="X16" s="2" t="s">
        <v>5</v>
      </c>
      <c r="Y16" s="6">
        <f t="shared" si="1"/>
        <v>3</v>
      </c>
      <c r="AD16" s="2">
        <v>11</v>
      </c>
      <c r="AE16" s="2">
        <v>1</v>
      </c>
      <c r="AF16" s="2">
        <v>6</v>
      </c>
      <c r="AG16" s="2" t="s">
        <v>5</v>
      </c>
      <c r="AN16" s="2">
        <v>10</v>
      </c>
      <c r="AO16" s="2">
        <v>10</v>
      </c>
      <c r="AP16" s="2">
        <v>5</v>
      </c>
      <c r="AQ16" s="2" t="s">
        <v>4</v>
      </c>
      <c r="AR16" s="6">
        <f t="shared" si="0"/>
        <v>4</v>
      </c>
    </row>
    <row r="17" spans="3:44" x14ac:dyDescent="0.3">
      <c r="C17" s="2">
        <v>12</v>
      </c>
      <c r="D17" s="2">
        <v>2</v>
      </c>
      <c r="E17" s="2">
        <v>6</v>
      </c>
      <c r="F17" s="2" t="s">
        <v>5</v>
      </c>
      <c r="L17" s="2">
        <v>5</v>
      </c>
      <c r="M17" s="2">
        <v>5</v>
      </c>
      <c r="N17" s="2">
        <v>3</v>
      </c>
      <c r="O17" s="2" t="s">
        <v>5</v>
      </c>
      <c r="P17" s="6">
        <f t="shared" si="2"/>
        <v>2.2360679774997898</v>
      </c>
      <c r="U17" s="2">
        <v>16</v>
      </c>
      <c r="V17" s="2">
        <v>6</v>
      </c>
      <c r="W17" s="2">
        <v>8</v>
      </c>
      <c r="X17" s="2" t="s">
        <v>5</v>
      </c>
      <c r="Y17" s="6">
        <f t="shared" si="1"/>
        <v>3</v>
      </c>
      <c r="AD17" s="2">
        <v>12</v>
      </c>
      <c r="AE17" s="2">
        <v>2</v>
      </c>
      <c r="AF17" s="2">
        <v>6</v>
      </c>
      <c r="AG17" s="2" t="s">
        <v>5</v>
      </c>
      <c r="AN17" s="2">
        <v>12</v>
      </c>
      <c r="AO17" s="2">
        <v>2</v>
      </c>
      <c r="AP17" s="2">
        <v>6</v>
      </c>
      <c r="AQ17" s="2" t="s">
        <v>5</v>
      </c>
      <c r="AR17" s="6">
        <f t="shared" si="0"/>
        <v>4.1231056256176606</v>
      </c>
    </row>
    <row r="18" spans="3:44" x14ac:dyDescent="0.3">
      <c r="C18" s="2">
        <v>13</v>
      </c>
      <c r="D18" s="2">
        <v>3</v>
      </c>
      <c r="E18" s="2">
        <v>7</v>
      </c>
      <c r="F18" s="2" t="s">
        <v>4</v>
      </c>
      <c r="L18" s="2">
        <v>6</v>
      </c>
      <c r="M18" s="2">
        <v>6</v>
      </c>
      <c r="N18" s="2">
        <v>3</v>
      </c>
      <c r="O18" s="2" t="s">
        <v>5</v>
      </c>
      <c r="P18" s="6">
        <f t="shared" si="2"/>
        <v>2</v>
      </c>
      <c r="U18" s="2">
        <v>15</v>
      </c>
      <c r="V18" s="2">
        <v>5</v>
      </c>
      <c r="W18" s="2">
        <v>8</v>
      </c>
      <c r="X18" s="2" t="s">
        <v>5</v>
      </c>
      <c r="Y18" s="6">
        <f t="shared" si="1"/>
        <v>3.1622776601683795</v>
      </c>
      <c r="AD18" s="2">
        <v>13</v>
      </c>
      <c r="AE18" s="2">
        <v>3</v>
      </c>
      <c r="AF18" s="2">
        <v>7</v>
      </c>
      <c r="AG18" s="2" t="s">
        <v>4</v>
      </c>
      <c r="AN18" s="2">
        <v>17</v>
      </c>
      <c r="AO18" s="2">
        <v>7</v>
      </c>
      <c r="AP18" s="2">
        <v>9</v>
      </c>
      <c r="AQ18" s="2" t="s">
        <v>4</v>
      </c>
      <c r="AR18" s="6">
        <f t="shared" si="0"/>
        <v>4.1231056256176606</v>
      </c>
    </row>
    <row r="19" spans="3:44" x14ac:dyDescent="0.3">
      <c r="C19" s="2">
        <v>14</v>
      </c>
      <c r="D19" s="2">
        <v>4</v>
      </c>
      <c r="E19" s="2">
        <v>7</v>
      </c>
      <c r="F19" s="2" t="s">
        <v>4</v>
      </c>
      <c r="L19" s="2">
        <v>7</v>
      </c>
      <c r="M19" s="2">
        <v>7</v>
      </c>
      <c r="N19" s="2">
        <v>4</v>
      </c>
      <c r="O19" s="2" t="s">
        <v>4</v>
      </c>
      <c r="P19" s="6">
        <f t="shared" si="2"/>
        <v>1.4142135623730951</v>
      </c>
      <c r="U19" s="2">
        <v>4</v>
      </c>
      <c r="V19" s="2">
        <v>4</v>
      </c>
      <c r="W19" s="2">
        <v>2</v>
      </c>
      <c r="X19" s="2" t="s">
        <v>5</v>
      </c>
      <c r="Y19" s="6">
        <f t="shared" si="1"/>
        <v>3.6055512754639891</v>
      </c>
      <c r="AD19" s="2">
        <v>14</v>
      </c>
      <c r="AE19" s="2">
        <v>4</v>
      </c>
      <c r="AF19" s="2">
        <v>7</v>
      </c>
      <c r="AG19" s="2" t="s">
        <v>4</v>
      </c>
      <c r="AN19" s="2">
        <v>3</v>
      </c>
      <c r="AO19" s="2">
        <v>3</v>
      </c>
      <c r="AP19" s="2">
        <v>2</v>
      </c>
      <c r="AQ19" s="2" t="s">
        <v>4</v>
      </c>
      <c r="AR19" s="6">
        <f t="shared" si="0"/>
        <v>4.2426406871192848</v>
      </c>
    </row>
    <row r="20" spans="3:44" x14ac:dyDescent="0.3">
      <c r="C20" s="2">
        <v>15</v>
      </c>
      <c r="D20" s="2">
        <v>5</v>
      </c>
      <c r="E20" s="2">
        <v>8</v>
      </c>
      <c r="F20" s="2" t="s">
        <v>5</v>
      </c>
      <c r="L20" s="2">
        <v>8</v>
      </c>
      <c r="M20" s="2">
        <v>8</v>
      </c>
      <c r="N20" s="2">
        <v>4</v>
      </c>
      <c r="O20" s="2" t="s">
        <v>4</v>
      </c>
      <c r="P20" s="6">
        <f t="shared" si="2"/>
        <v>2.2360679774997898</v>
      </c>
      <c r="U20" s="2">
        <v>13</v>
      </c>
      <c r="V20" s="2">
        <v>3</v>
      </c>
      <c r="W20" s="2">
        <v>7</v>
      </c>
      <c r="X20" s="2" t="s">
        <v>4</v>
      </c>
      <c r="Y20" s="6">
        <f t="shared" si="1"/>
        <v>3.6055512754639891</v>
      </c>
      <c r="AD20" s="2">
        <v>15</v>
      </c>
      <c r="AE20" s="2">
        <v>5</v>
      </c>
      <c r="AF20" s="2">
        <v>8</v>
      </c>
      <c r="AG20" s="2" t="s">
        <v>5</v>
      </c>
      <c r="AN20" s="2">
        <v>18</v>
      </c>
      <c r="AO20" s="2">
        <v>8</v>
      </c>
      <c r="AP20" s="2">
        <v>9</v>
      </c>
      <c r="AQ20" s="2" t="s">
        <v>4</v>
      </c>
      <c r="AR20" s="6">
        <f t="shared" si="0"/>
        <v>4.4721359549995796</v>
      </c>
    </row>
    <row r="21" spans="3:44" x14ac:dyDescent="0.3">
      <c r="C21" s="2">
        <v>16</v>
      </c>
      <c r="D21" s="2">
        <v>6</v>
      </c>
      <c r="E21" s="2">
        <v>8</v>
      </c>
      <c r="F21" s="2" t="s">
        <v>5</v>
      </c>
      <c r="L21" s="2">
        <v>9</v>
      </c>
      <c r="M21" s="2">
        <v>9</v>
      </c>
      <c r="N21" s="2">
        <v>5</v>
      </c>
      <c r="O21" s="2" t="s">
        <v>5</v>
      </c>
      <c r="P21" s="6">
        <f t="shared" si="2"/>
        <v>3</v>
      </c>
      <c r="U21" s="2">
        <v>10</v>
      </c>
      <c r="V21" s="2">
        <v>10</v>
      </c>
      <c r="W21" s="2">
        <v>5</v>
      </c>
      <c r="X21" s="2" t="s">
        <v>4</v>
      </c>
      <c r="Y21" s="6">
        <f t="shared" si="1"/>
        <v>4</v>
      </c>
      <c r="AD21" s="2">
        <v>16</v>
      </c>
      <c r="AE21" s="2">
        <v>6</v>
      </c>
      <c r="AF21" s="2">
        <v>8</v>
      </c>
      <c r="AG21" s="2" t="s">
        <v>5</v>
      </c>
      <c r="AN21" s="2">
        <v>11</v>
      </c>
      <c r="AO21" s="2">
        <v>1</v>
      </c>
      <c r="AP21" s="2">
        <v>6</v>
      </c>
      <c r="AQ21" s="2" t="s">
        <v>5</v>
      </c>
      <c r="AR21" s="6">
        <f t="shared" si="0"/>
        <v>5.0990195135927845</v>
      </c>
    </row>
    <row r="22" spans="3:44" x14ac:dyDescent="0.3">
      <c r="C22" s="2">
        <v>17</v>
      </c>
      <c r="D22" s="2">
        <v>7</v>
      </c>
      <c r="E22" s="2">
        <v>9</v>
      </c>
      <c r="F22" s="2" t="s">
        <v>4</v>
      </c>
      <c r="L22" s="2">
        <v>10</v>
      </c>
      <c r="M22" s="2">
        <v>10</v>
      </c>
      <c r="N22" s="2">
        <v>5</v>
      </c>
      <c r="O22" s="2" t="s">
        <v>4</v>
      </c>
      <c r="P22" s="6">
        <f t="shared" si="2"/>
        <v>4</v>
      </c>
      <c r="U22" s="2">
        <v>12</v>
      </c>
      <c r="V22" s="2">
        <v>2</v>
      </c>
      <c r="W22" s="2">
        <v>6</v>
      </c>
      <c r="X22" s="2" t="s">
        <v>5</v>
      </c>
      <c r="Y22" s="6">
        <f t="shared" si="1"/>
        <v>4.1231056256176606</v>
      </c>
      <c r="AD22" s="2">
        <v>17</v>
      </c>
      <c r="AE22" s="2">
        <v>7</v>
      </c>
      <c r="AF22" s="2">
        <v>9</v>
      </c>
      <c r="AG22" s="2" t="s">
        <v>4</v>
      </c>
      <c r="AN22" s="2">
        <v>2</v>
      </c>
      <c r="AO22" s="2">
        <v>2</v>
      </c>
      <c r="AP22" s="2">
        <v>1</v>
      </c>
      <c r="AQ22" s="2" t="s">
        <v>4</v>
      </c>
      <c r="AR22" s="6">
        <f t="shared" si="0"/>
        <v>5.6568542494923806</v>
      </c>
    </row>
    <row r="23" spans="3:44" x14ac:dyDescent="0.3">
      <c r="C23" s="2">
        <v>18</v>
      </c>
      <c r="D23" s="2">
        <v>8</v>
      </c>
      <c r="E23" s="2">
        <v>9</v>
      </c>
      <c r="F23" s="2" t="s">
        <v>4</v>
      </c>
      <c r="L23" s="2">
        <v>11</v>
      </c>
      <c r="M23" s="2">
        <v>1</v>
      </c>
      <c r="N23" s="2">
        <v>6</v>
      </c>
      <c r="O23" s="2" t="s">
        <v>5</v>
      </c>
      <c r="P23" s="6">
        <f t="shared" si="2"/>
        <v>5.0990195135927845</v>
      </c>
      <c r="U23" s="2">
        <v>17</v>
      </c>
      <c r="V23" s="2">
        <v>7</v>
      </c>
      <c r="W23" s="2">
        <v>9</v>
      </c>
      <c r="X23" s="2" t="s">
        <v>4</v>
      </c>
      <c r="Y23" s="6">
        <f t="shared" si="1"/>
        <v>4.1231056256176606</v>
      </c>
      <c r="AD23" s="2">
        <v>18</v>
      </c>
      <c r="AE23" s="2">
        <v>8</v>
      </c>
      <c r="AF23" s="2">
        <v>9</v>
      </c>
      <c r="AG23" s="2" t="s">
        <v>4</v>
      </c>
      <c r="AN23" s="2">
        <v>19</v>
      </c>
      <c r="AO23" s="2">
        <v>9</v>
      </c>
      <c r="AP23" s="2">
        <v>10</v>
      </c>
      <c r="AQ23" s="2" t="s">
        <v>5</v>
      </c>
      <c r="AR23" s="6">
        <f t="shared" si="0"/>
        <v>5.8309518948453007</v>
      </c>
    </row>
    <row r="24" spans="3:44" x14ac:dyDescent="0.3">
      <c r="C24" s="2">
        <v>19</v>
      </c>
      <c r="D24" s="2">
        <v>9</v>
      </c>
      <c r="E24" s="2">
        <v>10</v>
      </c>
      <c r="F24" s="2" t="s">
        <v>5</v>
      </c>
      <c r="L24" s="2">
        <v>12</v>
      </c>
      <c r="M24" s="2">
        <v>2</v>
      </c>
      <c r="N24" s="2">
        <v>6</v>
      </c>
      <c r="O24" s="2" t="s">
        <v>5</v>
      </c>
      <c r="P24" s="6">
        <f t="shared" si="2"/>
        <v>4.1231056256176606</v>
      </c>
      <c r="U24" s="2">
        <v>3</v>
      </c>
      <c r="V24" s="2">
        <v>3</v>
      </c>
      <c r="W24" s="2">
        <v>2</v>
      </c>
      <c r="X24" s="2" t="s">
        <v>4</v>
      </c>
      <c r="Y24" s="6">
        <f t="shared" si="1"/>
        <v>4.2426406871192848</v>
      </c>
      <c r="AD24" s="2">
        <v>19</v>
      </c>
      <c r="AE24" s="2">
        <v>9</v>
      </c>
      <c r="AF24" s="2">
        <v>10</v>
      </c>
      <c r="AG24" s="2" t="s">
        <v>5</v>
      </c>
      <c r="AN24" s="2">
        <v>1</v>
      </c>
      <c r="AO24" s="2">
        <v>1</v>
      </c>
      <c r="AP24" s="2">
        <v>1</v>
      </c>
      <c r="AQ24" s="2" t="s">
        <v>4</v>
      </c>
      <c r="AR24" s="6">
        <f t="shared" si="0"/>
        <v>6.4031242374328485</v>
      </c>
    </row>
    <row r="25" spans="3:44" x14ac:dyDescent="0.3">
      <c r="C25" s="2">
        <v>20</v>
      </c>
      <c r="D25" s="2">
        <v>10</v>
      </c>
      <c r="E25" s="2">
        <v>10</v>
      </c>
      <c r="F25" s="2" t="s">
        <v>4</v>
      </c>
      <c r="L25" s="2">
        <v>13</v>
      </c>
      <c r="M25" s="2">
        <v>3</v>
      </c>
      <c r="N25" s="2">
        <v>7</v>
      </c>
      <c r="O25" s="2" t="s">
        <v>4</v>
      </c>
      <c r="P25" s="6">
        <f t="shared" si="2"/>
        <v>3.6055512754639891</v>
      </c>
      <c r="U25" s="2">
        <v>18</v>
      </c>
      <c r="V25" s="2">
        <v>8</v>
      </c>
      <c r="W25" s="2">
        <v>9</v>
      </c>
      <c r="X25" s="2" t="s">
        <v>4</v>
      </c>
      <c r="Y25" s="6">
        <f t="shared" si="1"/>
        <v>4.4721359549995796</v>
      </c>
      <c r="AD25" s="2">
        <v>20</v>
      </c>
      <c r="AE25" s="2">
        <v>10</v>
      </c>
      <c r="AF25" s="2">
        <v>10</v>
      </c>
      <c r="AG25" s="2" t="s">
        <v>4</v>
      </c>
      <c r="AN25" s="2">
        <v>20</v>
      </c>
      <c r="AO25" s="2">
        <v>10</v>
      </c>
      <c r="AP25" s="2">
        <v>10</v>
      </c>
      <c r="AQ25" s="2" t="s">
        <v>4</v>
      </c>
      <c r="AR25" s="6">
        <f t="shared" si="0"/>
        <v>6.4031242374328485</v>
      </c>
    </row>
    <row r="26" spans="3:44" ht="15" customHeight="1" x14ac:dyDescent="0.3">
      <c r="L26" s="2">
        <v>14</v>
      </c>
      <c r="M26" s="2">
        <v>4</v>
      </c>
      <c r="N26" s="2">
        <v>7</v>
      </c>
      <c r="O26" s="2" t="s">
        <v>4</v>
      </c>
      <c r="P26" s="6">
        <f t="shared" si="2"/>
        <v>2.8284271247461903</v>
      </c>
      <c r="U26" s="2">
        <v>11</v>
      </c>
      <c r="V26" s="2">
        <v>1</v>
      </c>
      <c r="W26" s="2">
        <v>6</v>
      </c>
      <c r="X26" s="2" t="s">
        <v>5</v>
      </c>
      <c r="Y26" s="6">
        <f t="shared" si="1"/>
        <v>5.0990195135927845</v>
      </c>
    </row>
    <row r="27" spans="3:44" x14ac:dyDescent="0.3">
      <c r="L27" s="2">
        <v>15</v>
      </c>
      <c r="M27" s="2">
        <v>5</v>
      </c>
      <c r="N27" s="2">
        <v>8</v>
      </c>
      <c r="O27" s="2" t="s">
        <v>5</v>
      </c>
      <c r="P27" s="6">
        <f t="shared" si="2"/>
        <v>3.1622776601683795</v>
      </c>
      <c r="U27" s="2">
        <v>2</v>
      </c>
      <c r="V27" s="2">
        <v>2</v>
      </c>
      <c r="W27" s="2">
        <v>1</v>
      </c>
      <c r="X27" s="2" t="s">
        <v>4</v>
      </c>
      <c r="Y27" s="6">
        <f t="shared" si="1"/>
        <v>5.6568542494923806</v>
      </c>
    </row>
    <row r="28" spans="3:44" x14ac:dyDescent="0.3">
      <c r="L28" s="2">
        <v>16</v>
      </c>
      <c r="M28" s="2">
        <v>6</v>
      </c>
      <c r="N28" s="2">
        <v>8</v>
      </c>
      <c r="O28" s="2" t="s">
        <v>5</v>
      </c>
      <c r="P28" s="6">
        <f t="shared" si="2"/>
        <v>3</v>
      </c>
      <c r="U28" s="2">
        <v>19</v>
      </c>
      <c r="V28" s="2">
        <v>9</v>
      </c>
      <c r="W28" s="2">
        <v>10</v>
      </c>
      <c r="X28" s="2" t="s">
        <v>5</v>
      </c>
      <c r="Y28" s="6">
        <f t="shared" si="1"/>
        <v>5.8309518948453007</v>
      </c>
    </row>
    <row r="29" spans="3:44" x14ac:dyDescent="0.3">
      <c r="L29" s="2">
        <v>17</v>
      </c>
      <c r="M29" s="2">
        <v>7</v>
      </c>
      <c r="N29" s="2">
        <v>9</v>
      </c>
      <c r="O29" s="2" t="s">
        <v>4</v>
      </c>
      <c r="P29" s="6">
        <f t="shared" si="2"/>
        <v>4.1231056256176606</v>
      </c>
      <c r="U29" s="2">
        <v>1</v>
      </c>
      <c r="V29" s="2">
        <v>1</v>
      </c>
      <c r="W29" s="2">
        <v>1</v>
      </c>
      <c r="X29" s="2" t="s">
        <v>4</v>
      </c>
      <c r="Y29" s="6">
        <f t="shared" si="1"/>
        <v>6.4031242374328485</v>
      </c>
    </row>
    <row r="30" spans="3:44" x14ac:dyDescent="0.3">
      <c r="L30" s="2">
        <v>18</v>
      </c>
      <c r="M30" s="2">
        <v>8</v>
      </c>
      <c r="N30" s="2">
        <v>9</v>
      </c>
      <c r="O30" s="2" t="s">
        <v>4</v>
      </c>
      <c r="P30" s="6">
        <f t="shared" si="2"/>
        <v>4.4721359549995796</v>
      </c>
      <c r="U30" s="2">
        <v>20</v>
      </c>
      <c r="V30" s="2">
        <v>10</v>
      </c>
      <c r="W30" s="2">
        <v>10</v>
      </c>
      <c r="X30" s="2" t="s">
        <v>4</v>
      </c>
      <c r="Y30" s="6">
        <f t="shared" si="1"/>
        <v>6.4031242374328485</v>
      </c>
    </row>
    <row r="31" spans="3:44" x14ac:dyDescent="0.3">
      <c r="L31" s="2">
        <v>19</v>
      </c>
      <c r="M31" s="2">
        <v>9</v>
      </c>
      <c r="N31" s="2">
        <v>10</v>
      </c>
      <c r="O31" s="2" t="s">
        <v>5</v>
      </c>
      <c r="P31" s="6">
        <f t="shared" si="2"/>
        <v>5.8309518948453007</v>
      </c>
    </row>
    <row r="32" spans="3:44" x14ac:dyDescent="0.3">
      <c r="L32" s="2">
        <v>20</v>
      </c>
      <c r="M32" s="2">
        <v>10</v>
      </c>
      <c r="N32" s="2">
        <v>10</v>
      </c>
      <c r="O32" s="2" t="s">
        <v>4</v>
      </c>
      <c r="P32" s="6">
        <f t="shared" si="2"/>
        <v>6.4031242374328485</v>
      </c>
      <c r="U32" t="s">
        <v>21</v>
      </c>
    </row>
    <row r="34" spans="21:29" x14ac:dyDescent="0.3">
      <c r="U34" t="s">
        <v>22</v>
      </c>
      <c r="X34" s="10"/>
      <c r="Y34" s="10"/>
      <c r="Z34" s="10"/>
      <c r="AA34" s="10"/>
      <c r="AB34" s="10"/>
      <c r="AC34" s="10"/>
    </row>
    <row r="35" spans="21:29" x14ac:dyDescent="0.3">
      <c r="U35" t="s">
        <v>19</v>
      </c>
      <c r="X35" s="10"/>
      <c r="Y35" s="10"/>
      <c r="Z35" s="10"/>
      <c r="AA35" s="10"/>
      <c r="AB35" s="10"/>
      <c r="AC35" s="10"/>
    </row>
  </sheetData>
  <sortState xmlns:xlrd2="http://schemas.microsoft.com/office/spreadsheetml/2017/richdata2" ref="U11:Y30">
    <sortCondition ref="Y11:Y30"/>
  </sortState>
  <mergeCells count="5">
    <mergeCell ref="BB6:BF6"/>
    <mergeCell ref="AD3:AG3"/>
    <mergeCell ref="C2:G2"/>
    <mergeCell ref="L4:M4"/>
    <mergeCell ref="U4:Y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Mirna Melba</cp:lastModifiedBy>
  <cp:lastPrinted>2026-04-16T02:18:07Z</cp:lastPrinted>
  <dcterms:created xsi:type="dcterms:W3CDTF">2025-03-25T06:11:06Z</dcterms:created>
  <dcterms:modified xsi:type="dcterms:W3CDTF">2026-04-16T02:22:08Z</dcterms:modified>
</cp:coreProperties>
</file>